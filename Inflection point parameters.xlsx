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56" windowHeight="141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<sst xmlns="http://schemas.openxmlformats.org/spreadsheetml/2006/main" count="64" uniqueCount="8">
  <si>
    <t>LIG-LIO(m)</t>
  </si>
  <si>
    <t>Difference value(m)</t>
  </si>
  <si>
    <t>percentage</t>
  </si>
  <si>
    <t>LIO-SAM(m)</t>
  </si>
  <si>
    <t>FAST-LIO(m)</t>
  </si>
  <si>
    <t>Set height(m)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</si>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</sst>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0" fontId="2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E27" sqref="E27"/>
    </sheetView>
  </sheetViews>
  <sheetFormatPr defaultColWidth="8.88888888888889" defaultRowHeight="13.8"/>
  <cols>
    <col min="1" max="1" width="13.1111111111111" style="15" customWidth="1"/>
    <col min="2" max="2" width="24.4444444444444" style="15" customWidth="1"/>
    <col min="3" max="3" width="13.1111111111111" style="15" customWidth="1"/>
    <col min="4" max="4" width="15.6666666666667" style="15" customWidth="1"/>
    <col min="5" max="5" width="24.4444444444444" style="15" customWidth="1"/>
    <col min="6" max="6" width="13.1111111111111" style="15" customWidth="1"/>
    <col min="7" max="7" width="16.8888888888889" style="15" customWidth="1"/>
    <col min="8" max="8" width="24.4444444444444" style="15" customWidth="1"/>
    <col min="9" max="9" width="13.1111111111111" style="15" customWidth="1"/>
    <col min="10" max="10" width="16.8888888888889" style="15" customWidth="1"/>
    <col min="11" max="16384" width="8.88888888888889" style="15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1</v>
      </c>
      <c r="F1" s="3" t="s">
        <v>2</v>
      </c>
      <c r="G1" s="2" t="s">
        <v>4</v>
      </c>
      <c r="H1" s="2" t="s">
        <v>1</v>
      </c>
      <c r="I1" s="3" t="s">
        <v>2</v>
      </c>
      <c r="J1" s="2" t="s">
        <v>5</v>
      </c>
    </row>
    <row r="2" spans="1:10">
      <c r="A2" s="13">
        <v>6.826</v>
      </c>
      <c r="B2" s="19" cm="1">
        <f t="array" ref="B2:B17">ABS(A2:A17-J2:J17)</f>
        <v>0.174</v>
      </c>
      <c r="C2" s="20" cm="1">
        <f t="array" ref="C2:C17">_xlfn.ANCHORARRAY(B2)/J2:J17</f>
        <v>0.0248571428571429</v>
      </c>
      <c r="D2" s="13">
        <v>7.361</v>
      </c>
      <c r="E2" s="5" cm="1">
        <f t="array" ref="E2:E17">ABS(D2:D17-J2:J17)</f>
        <v>0.361</v>
      </c>
      <c r="F2" s="7" cm="1">
        <f t="array" ref="F2:F17">_xlfn.ANCHORARRAY(E2)/J2:J17</f>
        <v>0.0515714285714285</v>
      </c>
      <c r="G2" s="8">
        <v>7.592</v>
      </c>
      <c r="H2" s="8" cm="1">
        <f t="array" ref="H2:H17">ABS(G2:G17-J2:J17)</f>
        <v>0.592</v>
      </c>
      <c r="I2" s="7" cm="1">
        <f t="array" ref="I2:I17">_xlfn.ANCHORARRAY(H2)/J2:J17</f>
        <v>0.0845714285714285</v>
      </c>
      <c r="J2" s="13">
        <v>7</v>
      </c>
    </row>
    <row r="3" spans="1:10">
      <c r="A3" s="13">
        <v>14.143</v>
      </c>
      <c r="B3" s="13">
        <v>0.143000000000001</v>
      </c>
      <c r="C3" s="16">
        <v>0.0102142857142858</v>
      </c>
      <c r="D3" s="13">
        <v>14.618</v>
      </c>
      <c r="E3" s="8">
        <v>0.618</v>
      </c>
      <c r="F3" s="21">
        <v>0.0441428571428572</v>
      </c>
      <c r="G3" s="8">
        <v>15.225</v>
      </c>
      <c r="H3" s="8">
        <v>1.225</v>
      </c>
      <c r="I3" s="21">
        <v>0.0875</v>
      </c>
      <c r="J3" s="13">
        <v>14</v>
      </c>
    </row>
    <row r="4" spans="1:10">
      <c r="A4" s="13">
        <v>19.17</v>
      </c>
      <c r="B4" s="13">
        <v>0.170000000000002</v>
      </c>
      <c r="C4" s="16">
        <v>0.00894736842105272</v>
      </c>
      <c r="D4" s="13">
        <v>18.75</v>
      </c>
      <c r="E4" s="13">
        <v>0.25</v>
      </c>
      <c r="F4" s="16">
        <v>0.0131578947368421</v>
      </c>
      <c r="G4" s="13">
        <v>20.384</v>
      </c>
      <c r="H4" s="13">
        <v>1.384</v>
      </c>
      <c r="I4" s="16">
        <v>0.0728421052631579</v>
      </c>
      <c r="J4" s="13">
        <v>19</v>
      </c>
    </row>
    <row r="5" spans="1:10">
      <c r="A5" s="13">
        <v>25.219</v>
      </c>
      <c r="B5" s="13">
        <v>0.219000000000001</v>
      </c>
      <c r="C5" s="16">
        <v>0.00876000000000005</v>
      </c>
      <c r="D5" s="13">
        <v>24.759</v>
      </c>
      <c r="E5" s="13">
        <v>0.241</v>
      </c>
      <c r="F5" s="16">
        <v>0.00963999999999999</v>
      </c>
      <c r="G5" s="13">
        <v>24.532</v>
      </c>
      <c r="H5" s="13">
        <v>0.468</v>
      </c>
      <c r="I5" s="16">
        <v>0.01872</v>
      </c>
      <c r="J5" s="13">
        <v>25</v>
      </c>
    </row>
    <row r="6" spans="1:10">
      <c r="A6" s="13">
        <v>25.038</v>
      </c>
      <c r="B6" s="13">
        <v>0.0380000000000003</v>
      </c>
      <c r="C6" s="16">
        <v>0.00152000000000001</v>
      </c>
      <c r="D6" s="13">
        <v>25.339</v>
      </c>
      <c r="E6" s="13">
        <v>0.338999999999999</v>
      </c>
      <c r="F6" s="16">
        <v>0.0135599999999999</v>
      </c>
      <c r="G6" s="17">
        <v>25.07</v>
      </c>
      <c r="H6" s="13">
        <v>0.0700000000000003</v>
      </c>
      <c r="I6" s="16">
        <v>0.00280000000000001</v>
      </c>
      <c r="J6" s="13">
        <v>25</v>
      </c>
    </row>
    <row r="7" spans="1:10">
      <c r="A7" s="13">
        <v>20.235</v>
      </c>
      <c r="B7" s="13">
        <v>0.234999999999999</v>
      </c>
      <c r="C7" s="16">
        <v>0.01175</v>
      </c>
      <c r="D7" s="13">
        <v>19.488</v>
      </c>
      <c r="E7" s="13">
        <v>0.512</v>
      </c>
      <c r="F7" s="16">
        <v>0.0256</v>
      </c>
      <c r="G7" s="13">
        <v>18.919</v>
      </c>
      <c r="H7" s="13">
        <v>1.081</v>
      </c>
      <c r="I7" s="16">
        <v>0.05405</v>
      </c>
      <c r="J7" s="13">
        <v>20</v>
      </c>
    </row>
    <row r="8" spans="1:10">
      <c r="A8" s="13">
        <v>14.894</v>
      </c>
      <c r="B8" s="13">
        <v>0.106</v>
      </c>
      <c r="C8" s="16">
        <v>0.00706666666666666</v>
      </c>
      <c r="D8" s="13">
        <v>15.175</v>
      </c>
      <c r="E8" s="13">
        <v>0.175000000000001</v>
      </c>
      <c r="F8" s="16">
        <v>0.0116666666666667</v>
      </c>
      <c r="G8" s="13">
        <v>13.498</v>
      </c>
      <c r="H8" s="13">
        <v>1.502</v>
      </c>
      <c r="I8" s="16">
        <v>0.100133333333333</v>
      </c>
      <c r="J8" s="13">
        <v>15</v>
      </c>
    </row>
    <row r="9" spans="1:10">
      <c r="A9" s="13">
        <v>7.306</v>
      </c>
      <c r="B9" s="13">
        <v>0.306</v>
      </c>
      <c r="C9" s="16">
        <v>0.0437142857142857</v>
      </c>
      <c r="D9" s="13">
        <v>7.697</v>
      </c>
      <c r="E9" s="13">
        <v>0.697</v>
      </c>
      <c r="F9" s="16">
        <v>0.0995714285714286</v>
      </c>
      <c r="G9" s="13">
        <v>8.002</v>
      </c>
      <c r="H9" s="13">
        <v>1.002</v>
      </c>
      <c r="I9" s="16">
        <v>0.143142857142857</v>
      </c>
      <c r="J9" s="13">
        <v>7</v>
      </c>
    </row>
    <row r="10" spans="1:10">
      <c r="A10" s="13">
        <v>7.444</v>
      </c>
      <c r="B10" s="13">
        <v>0.444</v>
      </c>
      <c r="C10" s="16">
        <v>0.0634285714285714</v>
      </c>
      <c r="D10" s="17">
        <v>6.87</v>
      </c>
      <c r="E10" s="13">
        <v>0.13</v>
      </c>
      <c r="F10" s="16">
        <v>0.0185714285714286</v>
      </c>
      <c r="G10" s="13">
        <v>7.628</v>
      </c>
      <c r="H10" s="13">
        <v>0.628</v>
      </c>
      <c r="I10" s="16">
        <v>0.0897142857142857</v>
      </c>
      <c r="J10" s="13">
        <v>7</v>
      </c>
    </row>
    <row r="11" spans="1:10">
      <c r="A11" s="13">
        <v>15.679</v>
      </c>
      <c r="B11" s="13">
        <v>0.679</v>
      </c>
      <c r="C11" s="16">
        <v>0.0452666666666667</v>
      </c>
      <c r="D11" s="13">
        <v>15.541</v>
      </c>
      <c r="E11" s="13">
        <v>0.541</v>
      </c>
      <c r="F11" s="16">
        <v>0.0360666666666667</v>
      </c>
      <c r="G11" s="13">
        <v>14.319</v>
      </c>
      <c r="H11" s="13">
        <v>0.680999999999999</v>
      </c>
      <c r="I11" s="16">
        <v>0.0453999999999999</v>
      </c>
      <c r="J11" s="13">
        <v>15</v>
      </c>
    </row>
    <row r="12" spans="1:10">
      <c r="A12" s="17">
        <v>18.64</v>
      </c>
      <c r="B12" s="13">
        <v>0.359999999999999</v>
      </c>
      <c r="C12" s="16">
        <v>0.0189473684210526</v>
      </c>
      <c r="D12" s="13">
        <v>19.185</v>
      </c>
      <c r="E12" s="13">
        <v>0.184999999999999</v>
      </c>
      <c r="F12" s="16">
        <v>0.00973684210526309</v>
      </c>
      <c r="G12" s="13">
        <v>19.835</v>
      </c>
      <c r="H12" s="13">
        <v>0.835000000000001</v>
      </c>
      <c r="I12" s="16">
        <v>0.0439473684210527</v>
      </c>
      <c r="J12" s="13">
        <v>19</v>
      </c>
    </row>
    <row r="13" spans="1:10">
      <c r="A13" s="13">
        <v>24.608</v>
      </c>
      <c r="B13" s="13">
        <v>0.391999999999999</v>
      </c>
      <c r="C13" s="16">
        <v>0.01568</v>
      </c>
      <c r="D13" s="13">
        <v>24.706</v>
      </c>
      <c r="E13" s="13">
        <v>0.294</v>
      </c>
      <c r="F13" s="16">
        <v>0.01176</v>
      </c>
      <c r="G13" s="13">
        <v>26.163</v>
      </c>
      <c r="H13" s="13">
        <v>1.163</v>
      </c>
      <c r="I13" s="16">
        <v>0.04652</v>
      </c>
      <c r="J13" s="13">
        <v>25</v>
      </c>
    </row>
    <row r="14" spans="1:10">
      <c r="A14" s="13">
        <v>24.171</v>
      </c>
      <c r="B14" s="13">
        <v>0.170999999999999</v>
      </c>
      <c r="C14" s="16">
        <v>0.00712499999999997</v>
      </c>
      <c r="D14" s="13">
        <v>24.936</v>
      </c>
      <c r="E14" s="13">
        <v>0.936</v>
      </c>
      <c r="F14" s="16">
        <v>0.039</v>
      </c>
      <c r="G14" s="13">
        <v>25.363</v>
      </c>
      <c r="H14" s="13">
        <v>1.363</v>
      </c>
      <c r="I14" s="16">
        <v>0.0567916666666667</v>
      </c>
      <c r="J14" s="13">
        <v>24</v>
      </c>
    </row>
    <row r="15" spans="1:10">
      <c r="A15" s="13">
        <v>15.043</v>
      </c>
      <c r="B15" s="13">
        <v>0.0429999999999993</v>
      </c>
      <c r="C15" s="16">
        <v>0.00286666666666662</v>
      </c>
      <c r="D15" s="13">
        <v>15.902</v>
      </c>
      <c r="E15" s="13">
        <v>0.901999999999999</v>
      </c>
      <c r="F15" s="16">
        <v>0.0601333333333333</v>
      </c>
      <c r="G15" s="13">
        <v>16.066</v>
      </c>
      <c r="H15" s="13">
        <v>1.066</v>
      </c>
      <c r="I15" s="16">
        <v>0.0710666666666666</v>
      </c>
      <c r="J15" s="13">
        <v>15</v>
      </c>
    </row>
    <row r="16" spans="1:10">
      <c r="A16" s="13">
        <v>8.662</v>
      </c>
      <c r="B16" s="13">
        <v>0.337999999999999</v>
      </c>
      <c r="C16" s="16">
        <v>0.0375555555555555</v>
      </c>
      <c r="D16" s="13">
        <v>9.116</v>
      </c>
      <c r="E16" s="13">
        <v>0.116</v>
      </c>
      <c r="F16" s="16">
        <v>0.0128888888888889</v>
      </c>
      <c r="G16" s="13">
        <v>9.552</v>
      </c>
      <c r="H16" s="13">
        <v>0.552</v>
      </c>
      <c r="I16" s="16">
        <v>0.0613333333333333</v>
      </c>
      <c r="J16" s="13">
        <v>9</v>
      </c>
    </row>
    <row r="17" spans="1:10">
      <c r="A17" s="13">
        <v>6.419</v>
      </c>
      <c r="B17" s="13">
        <v>0.419</v>
      </c>
      <c r="C17" s="16">
        <v>0.0698333333333333</v>
      </c>
      <c r="D17" s="13">
        <v>6.215</v>
      </c>
      <c r="E17" s="13">
        <v>0.215</v>
      </c>
      <c r="F17" s="16">
        <v>0.0358333333333333</v>
      </c>
      <c r="G17" s="13">
        <v>7.005</v>
      </c>
      <c r="H17" s="13">
        <v>1.005</v>
      </c>
      <c r="I17" s="16">
        <v>0.1675</v>
      </c>
      <c r="J17" s="13">
        <v>6</v>
      </c>
    </row>
    <row r="18" spans="1:10">
      <c r="A18" s="2" t="s">
        <v>6</v>
      </c>
      <c r="B18" s="12">
        <f>SQRT(SUMSQ(_xlfn.ANCHORARRAY(B2))/16)</f>
        <v>0.311394344039836</v>
      </c>
      <c r="C18" s="13"/>
      <c r="D18" s="2" t="s">
        <v>6</v>
      </c>
      <c r="E18" s="12">
        <f>SQRT(SUMSQ(_xlfn.ANCHORARRAY(E2))/16)</f>
        <v>0.481270973568945</v>
      </c>
      <c r="F18" s="13"/>
      <c r="G18" s="2" t="s">
        <v>6</v>
      </c>
      <c r="H18" s="12">
        <f>SQRT(SUMSQ(_xlfn.ANCHORARRAY(H2))/16)</f>
        <v>0.988554215761584</v>
      </c>
      <c r="I18" s="16"/>
      <c r="J18" s="13"/>
    </row>
    <row r="19" spans="1:10">
      <c r="A19" s="2" t="s">
        <v>7</v>
      </c>
      <c r="B19" s="12">
        <f>SUM(_xlfn.ANCHORARRAY(B2))/16</f>
        <v>0.2648125</v>
      </c>
      <c r="C19" s="13"/>
      <c r="D19" s="2" t="s">
        <v>7</v>
      </c>
      <c r="E19" s="12">
        <f>SUM(_xlfn.ANCHORARRAY(E2))/16</f>
        <v>0.407</v>
      </c>
      <c r="F19" s="13"/>
      <c r="G19" s="2" t="s">
        <v>7</v>
      </c>
      <c r="H19" s="12">
        <f>SUM(_xlfn.ANCHORARRAY(H2))/16</f>
        <v>0.9135625</v>
      </c>
      <c r="I19" s="13"/>
      <c r="J19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E26" sqref="E26"/>
    </sheetView>
  </sheetViews>
  <sheetFormatPr defaultColWidth="8.88888888888889" defaultRowHeight="13.8"/>
  <cols>
    <col min="1" max="1" width="13.1111111111111" style="15" customWidth="1"/>
    <col min="2" max="2" width="24.4444444444444" style="15" customWidth="1"/>
    <col min="3" max="4" width="13.1111111111111" style="15" customWidth="1"/>
    <col min="5" max="5" width="24.4444444444444" style="15" customWidth="1"/>
    <col min="6" max="6" width="13.1111111111111" style="15" customWidth="1"/>
    <col min="7" max="7" width="14.4444444444444" style="15" customWidth="1"/>
    <col min="8" max="8" width="24.4444444444444" style="15" customWidth="1"/>
    <col min="9" max="9" width="13.1111111111111" style="15" customWidth="1"/>
    <col min="10" max="10" width="16.8888888888889" style="15" customWidth="1"/>
    <col min="11" max="16384" width="8.88888888888889" style="15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1</v>
      </c>
      <c r="F1" s="3" t="s">
        <v>2</v>
      </c>
      <c r="G1" s="2" t="s">
        <v>4</v>
      </c>
      <c r="H1" s="2" t="s">
        <v>1</v>
      </c>
      <c r="I1" s="3" t="s">
        <v>2</v>
      </c>
      <c r="J1" s="2" t="s">
        <v>5</v>
      </c>
    </row>
    <row r="2" spans="1:10">
      <c r="A2" s="13">
        <v>10.234</v>
      </c>
      <c r="B2" s="19" cm="1">
        <f t="array" ref="B2:B17">ABS(A2:A17-J2:J17)</f>
        <v>0.234</v>
      </c>
      <c r="C2" s="20" cm="1">
        <f t="array" ref="C2:C17">_xlfn.ANCHORARRAY(B2)/J2:J17</f>
        <v>0.0234</v>
      </c>
      <c r="D2" s="13">
        <v>10.345</v>
      </c>
      <c r="E2" s="5" cm="1">
        <f t="array" ref="E2:E17">ABS(D2:D17-J2:J17)</f>
        <v>0.345000000000001</v>
      </c>
      <c r="F2" s="7" cm="1">
        <f t="array" ref="F2:F17">_xlfn.ANCHORARRAY(E2)/J2:J17</f>
        <v>0.0345000000000001</v>
      </c>
      <c r="G2" s="8">
        <v>10.427</v>
      </c>
      <c r="H2" s="8" cm="1">
        <f t="array" ref="H2:H17">ABS(G2:G17-J2:J17)</f>
        <v>0.427</v>
      </c>
      <c r="I2" s="7" cm="1">
        <f t="array" ref="I2:I17">_xlfn.ANCHORARRAY(H2)/J2:J17</f>
        <v>0.0427</v>
      </c>
      <c r="J2" s="13">
        <v>10</v>
      </c>
    </row>
    <row r="3" spans="1:10">
      <c r="A3" s="13">
        <v>12.024</v>
      </c>
      <c r="B3" s="13">
        <v>0.0239999999999991</v>
      </c>
      <c r="C3" s="16">
        <v>0.00199999999999993</v>
      </c>
      <c r="D3" s="13">
        <v>11.979</v>
      </c>
      <c r="E3" s="13">
        <v>0.0210000000000008</v>
      </c>
      <c r="F3" s="16">
        <v>0.00175000000000007</v>
      </c>
      <c r="G3" s="13">
        <v>12.21</v>
      </c>
      <c r="H3" s="13">
        <v>0.210000000000001</v>
      </c>
      <c r="I3" s="16">
        <v>0.0175000000000001</v>
      </c>
      <c r="J3" s="13">
        <v>12</v>
      </c>
    </row>
    <row r="4" spans="1:10">
      <c r="A4" s="13">
        <v>8.309</v>
      </c>
      <c r="B4" s="13">
        <v>0.308999999999999</v>
      </c>
      <c r="C4" s="16">
        <v>0.0386249999999999</v>
      </c>
      <c r="D4" s="13">
        <v>7.487</v>
      </c>
      <c r="E4" s="13">
        <v>0.513</v>
      </c>
      <c r="F4" s="16">
        <v>0.064125</v>
      </c>
      <c r="G4" s="13">
        <v>8.888</v>
      </c>
      <c r="H4" s="13">
        <v>0.888</v>
      </c>
      <c r="I4" s="16">
        <v>0.111</v>
      </c>
      <c r="J4" s="13">
        <v>8</v>
      </c>
    </row>
    <row r="5" spans="1:10">
      <c r="A5" s="13">
        <v>10.176</v>
      </c>
      <c r="B5" s="13">
        <v>0.176</v>
      </c>
      <c r="C5" s="16">
        <v>0.0176</v>
      </c>
      <c r="D5" s="13">
        <v>10.206</v>
      </c>
      <c r="E5" s="13">
        <v>0.206</v>
      </c>
      <c r="F5" s="16">
        <v>0.0206</v>
      </c>
      <c r="G5" s="13">
        <v>9.885</v>
      </c>
      <c r="H5" s="13">
        <v>0.115</v>
      </c>
      <c r="I5" s="16">
        <v>0.0115</v>
      </c>
      <c r="J5" s="13">
        <v>10</v>
      </c>
    </row>
    <row r="6" spans="1:10">
      <c r="A6" s="17">
        <v>14.39</v>
      </c>
      <c r="B6" s="13">
        <v>0.390000000000001</v>
      </c>
      <c r="C6" s="16">
        <v>0.0278571428571429</v>
      </c>
      <c r="D6" s="13">
        <v>14.087</v>
      </c>
      <c r="E6" s="13">
        <v>0.0869999999999997</v>
      </c>
      <c r="F6" s="16">
        <v>0.0062142857142857</v>
      </c>
      <c r="G6" s="13">
        <v>14.224</v>
      </c>
      <c r="H6" s="13">
        <v>0.224</v>
      </c>
      <c r="I6" s="16">
        <v>0.016</v>
      </c>
      <c r="J6" s="13">
        <v>14</v>
      </c>
    </row>
    <row r="7" spans="1:10">
      <c r="A7" s="17">
        <v>15.64</v>
      </c>
      <c r="B7" s="13">
        <v>0.140000000000001</v>
      </c>
      <c r="C7" s="16">
        <v>0.00903225806451617</v>
      </c>
      <c r="D7" s="13">
        <v>15.035</v>
      </c>
      <c r="E7" s="13">
        <v>0.465</v>
      </c>
      <c r="F7" s="16">
        <v>0.03</v>
      </c>
      <c r="G7" s="13">
        <v>16.281</v>
      </c>
      <c r="H7" s="13">
        <v>0.780999999999999</v>
      </c>
      <c r="I7" s="16">
        <v>0.0503870967741935</v>
      </c>
      <c r="J7" s="13">
        <v>15.5</v>
      </c>
    </row>
    <row r="8" spans="1:10">
      <c r="A8" s="13">
        <v>13.873</v>
      </c>
      <c r="B8" s="13">
        <v>0.127000000000001</v>
      </c>
      <c r="C8" s="16">
        <v>0.00907142857142862</v>
      </c>
      <c r="D8" s="13">
        <v>13.862</v>
      </c>
      <c r="E8" s="13">
        <v>0.138</v>
      </c>
      <c r="F8" s="16">
        <v>0.00985714285714285</v>
      </c>
      <c r="G8" s="13">
        <v>15.719</v>
      </c>
      <c r="H8" s="13">
        <v>1.719</v>
      </c>
      <c r="I8" s="16">
        <v>0.122785714285714</v>
      </c>
      <c r="J8" s="13">
        <v>14</v>
      </c>
    </row>
    <row r="9" spans="1:10">
      <c r="A9" s="13">
        <v>17.292</v>
      </c>
      <c r="B9" s="13">
        <v>0.292000000000002</v>
      </c>
      <c r="C9" s="16">
        <v>0.0171764705882354</v>
      </c>
      <c r="D9" s="13">
        <v>17.356</v>
      </c>
      <c r="E9" s="13">
        <v>0.356000000000002</v>
      </c>
      <c r="F9" s="16">
        <v>0.0209411764705883</v>
      </c>
      <c r="G9" s="13">
        <v>18</v>
      </c>
      <c r="H9" s="13">
        <v>1</v>
      </c>
      <c r="I9" s="16">
        <v>0.0588235294117647</v>
      </c>
      <c r="J9" s="13">
        <v>17</v>
      </c>
    </row>
    <row r="10" spans="1:10">
      <c r="A10" s="13">
        <v>20.245</v>
      </c>
      <c r="B10" s="13">
        <v>0.245000000000001</v>
      </c>
      <c r="C10" s="16">
        <v>0.01225</v>
      </c>
      <c r="D10" s="13">
        <v>20.119</v>
      </c>
      <c r="E10" s="13">
        <v>0.119</v>
      </c>
      <c r="F10" s="16">
        <v>0.00594999999999999</v>
      </c>
      <c r="G10" s="13">
        <v>21.034</v>
      </c>
      <c r="H10" s="13">
        <v>1.034</v>
      </c>
      <c r="I10" s="16">
        <v>0.0516999999999999</v>
      </c>
      <c r="J10" s="13">
        <v>20</v>
      </c>
    </row>
    <row r="11" spans="1:10">
      <c r="A11" s="13">
        <v>21.301</v>
      </c>
      <c r="B11" s="13">
        <v>0.199000000000002</v>
      </c>
      <c r="C11" s="16">
        <v>0.00925581395348845</v>
      </c>
      <c r="D11" s="17">
        <v>21.05</v>
      </c>
      <c r="E11" s="13">
        <v>0.449999999999999</v>
      </c>
      <c r="F11" s="16">
        <v>0.0209302325581395</v>
      </c>
      <c r="G11" s="13">
        <v>21.707</v>
      </c>
      <c r="H11" s="13">
        <v>0.207000000000001</v>
      </c>
      <c r="I11" s="16">
        <v>0.00962790697674422</v>
      </c>
      <c r="J11" s="13">
        <v>21.5</v>
      </c>
    </row>
    <row r="12" spans="1:10">
      <c r="A12" s="17">
        <v>18.77</v>
      </c>
      <c r="B12" s="13">
        <v>0.27</v>
      </c>
      <c r="C12" s="16">
        <v>0.0145945945945946</v>
      </c>
      <c r="D12" s="13">
        <v>17.712</v>
      </c>
      <c r="E12" s="13">
        <v>0.788</v>
      </c>
      <c r="F12" s="16">
        <v>0.0425945945945946</v>
      </c>
      <c r="G12" s="13">
        <v>19.966</v>
      </c>
      <c r="H12" s="13">
        <v>1.466</v>
      </c>
      <c r="I12" s="16">
        <v>0.0792432432432433</v>
      </c>
      <c r="J12" s="13">
        <v>18.5</v>
      </c>
    </row>
    <row r="13" spans="1:10">
      <c r="A13" s="13">
        <v>21.986</v>
      </c>
      <c r="B13" s="13">
        <v>0.486000000000001</v>
      </c>
      <c r="C13" s="16">
        <v>0.0226046511627907</v>
      </c>
      <c r="D13" s="13">
        <v>21.495</v>
      </c>
      <c r="E13" s="13">
        <v>0.00499999999999901</v>
      </c>
      <c r="F13" s="16">
        <v>0.000232558139534837</v>
      </c>
      <c r="G13" s="13">
        <v>21.658</v>
      </c>
      <c r="H13" s="13">
        <v>0.158000000000001</v>
      </c>
      <c r="I13" s="16">
        <v>0.00734883720930238</v>
      </c>
      <c r="J13" s="13">
        <v>21.5</v>
      </c>
    </row>
    <row r="14" spans="1:10">
      <c r="A14" s="13">
        <v>24.776</v>
      </c>
      <c r="B14" s="13">
        <v>0.224</v>
      </c>
      <c r="C14" s="16">
        <v>0.00896000000000001</v>
      </c>
      <c r="D14" s="13">
        <v>24.617</v>
      </c>
      <c r="E14" s="13">
        <v>0.382999999999999</v>
      </c>
      <c r="F14" s="16">
        <v>0.01532</v>
      </c>
      <c r="G14" s="13">
        <v>25.718</v>
      </c>
      <c r="H14" s="13">
        <v>0.718</v>
      </c>
      <c r="I14" s="16">
        <v>0.02872</v>
      </c>
      <c r="J14" s="13">
        <v>25</v>
      </c>
    </row>
    <row r="15" spans="1:10">
      <c r="A15" s="13">
        <v>26.294</v>
      </c>
      <c r="B15" s="13">
        <v>0.294</v>
      </c>
      <c r="C15" s="16">
        <v>0.0113076923076923</v>
      </c>
      <c r="D15" s="13">
        <v>25.726</v>
      </c>
      <c r="E15" s="13">
        <v>0.274000000000001</v>
      </c>
      <c r="F15" s="16">
        <v>0.0105384615384616</v>
      </c>
      <c r="G15" s="13">
        <v>27.391</v>
      </c>
      <c r="H15" s="13">
        <v>1.391</v>
      </c>
      <c r="I15" s="16">
        <v>0.0534999999999999</v>
      </c>
      <c r="J15" s="13">
        <v>26</v>
      </c>
    </row>
    <row r="16" spans="1:10">
      <c r="A16" s="13">
        <v>25.395</v>
      </c>
      <c r="B16" s="13">
        <v>0.395</v>
      </c>
      <c r="C16" s="16">
        <v>0.0158</v>
      </c>
      <c r="D16" s="13">
        <v>25.771</v>
      </c>
      <c r="E16" s="13">
        <v>0.771000000000001</v>
      </c>
      <c r="F16" s="16">
        <v>0.03084</v>
      </c>
      <c r="G16" s="13">
        <v>25.482</v>
      </c>
      <c r="H16" s="13">
        <v>0.481999999999999</v>
      </c>
      <c r="I16" s="16">
        <v>0.01928</v>
      </c>
      <c r="J16" s="13">
        <v>25</v>
      </c>
    </row>
    <row r="17" spans="1:10">
      <c r="A17" s="13">
        <v>25.622</v>
      </c>
      <c r="B17" s="13">
        <v>0.622</v>
      </c>
      <c r="C17" s="16">
        <v>0.02488</v>
      </c>
      <c r="D17" s="13">
        <v>24.868</v>
      </c>
      <c r="E17" s="13">
        <v>0.132000000000001</v>
      </c>
      <c r="F17" s="16">
        <v>0.00528000000000006</v>
      </c>
      <c r="G17" s="13">
        <v>25.862</v>
      </c>
      <c r="H17" s="13">
        <v>0.861999999999998</v>
      </c>
      <c r="I17" s="16">
        <v>0.0344799999999999</v>
      </c>
      <c r="J17" s="13">
        <v>25</v>
      </c>
    </row>
    <row r="18" spans="1:10">
      <c r="A18" s="2" t="s">
        <v>6</v>
      </c>
      <c r="B18" s="12">
        <f>SQRT(SUMSQ(_xlfn.ANCHORARRAY(B2))/16)</f>
        <v>0.310556456220121</v>
      </c>
      <c r="C18" s="13"/>
      <c r="D18" s="2" t="s">
        <v>6</v>
      </c>
      <c r="E18" s="12">
        <f>SQRT(SUMSQ(_xlfn.ANCHORARRAY(E2))/16)</f>
        <v>0.392580007769117</v>
      </c>
      <c r="F18" s="13"/>
      <c r="G18" s="2" t="s">
        <v>6</v>
      </c>
      <c r="H18" s="12">
        <f>SQRT(SUMSQ(_xlfn.ANCHORARRAY(H2))/16)</f>
        <v>0.8787488975811</v>
      </c>
      <c r="I18" s="13"/>
      <c r="J18" s="13"/>
    </row>
    <row r="19" spans="1:10">
      <c r="A19" s="2" t="s">
        <v>7</v>
      </c>
      <c r="B19" s="12">
        <f>SUM(_xlfn.ANCHORARRAY(B2))/16</f>
        <v>0.2766875</v>
      </c>
      <c r="C19" s="13"/>
      <c r="D19" s="2" t="s">
        <v>7</v>
      </c>
      <c r="E19" s="12">
        <f>SUM(_xlfn.ANCHORARRAY(E2))/16</f>
        <v>0.3158125</v>
      </c>
      <c r="F19" s="13"/>
      <c r="G19" s="2" t="s">
        <v>7</v>
      </c>
      <c r="H19" s="12">
        <f>SUM(_xlfn.ANCHORARRAY(H2))/16</f>
        <v>0.730125</v>
      </c>
      <c r="I19" s="13"/>
      <c r="J19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E25" sqref="E25"/>
    </sheetView>
  </sheetViews>
  <sheetFormatPr defaultColWidth="8.88888888888889" defaultRowHeight="13.8"/>
  <cols>
    <col min="1" max="1" width="13.1111111111111" style="15" customWidth="1"/>
    <col min="2" max="2" width="24.4444444444444" style="15" customWidth="1"/>
    <col min="3" max="4" width="13.1111111111111" style="15" customWidth="1"/>
    <col min="5" max="5" width="24.4444444444444" style="15" customWidth="1"/>
    <col min="6" max="6" width="13.1111111111111" style="15" customWidth="1"/>
    <col min="7" max="7" width="14.4444444444444" style="15" customWidth="1"/>
    <col min="8" max="8" width="24.4444444444444" style="15" customWidth="1"/>
    <col min="9" max="9" width="13.1111111111111" style="15" customWidth="1"/>
    <col min="10" max="10" width="16.8888888888889" style="15" customWidth="1"/>
    <col min="11" max="16384" width="8.88888888888889" style="15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1</v>
      </c>
      <c r="F1" s="3" t="s">
        <v>2</v>
      </c>
      <c r="G1" s="2" t="s">
        <v>4</v>
      </c>
      <c r="H1" s="2" t="s">
        <v>1</v>
      </c>
      <c r="I1" s="3" t="s">
        <v>2</v>
      </c>
      <c r="J1" s="2" t="s">
        <v>5</v>
      </c>
    </row>
    <row r="2" spans="1:10">
      <c r="A2" s="8">
        <v>10.43</v>
      </c>
      <c r="B2" s="5" cm="1">
        <f t="array" ref="B2:B17">ABS(A2:A17-J2:J17)</f>
        <v>0.43</v>
      </c>
      <c r="C2" s="6" cm="1">
        <f t="array" ref="C2:C17">_xlfn.ANCHORARRAY(B2)/J2:J17</f>
        <v>0.043</v>
      </c>
      <c r="D2" s="8">
        <v>10.145</v>
      </c>
      <c r="E2" s="5" cm="1">
        <f t="array" ref="E2:E17">ABS(D2:D17-J2:J17)</f>
        <v>0.145</v>
      </c>
      <c r="F2" s="7" cm="1">
        <f t="array" ref="F2:F17">_xlfn.ANCHORARRAY(E2)/J2:J17</f>
        <v>0.0145</v>
      </c>
      <c r="G2" s="8">
        <v>10.136</v>
      </c>
      <c r="H2" s="8" cm="1">
        <f t="array" ref="H2:H17">ABS(G2:G17-J2:J17)</f>
        <v>0.135999999999999</v>
      </c>
      <c r="I2" s="7" cm="1">
        <f t="array" ref="I2:I17">_xlfn.ANCHORARRAY(H2)/J2:J17</f>
        <v>0.0135999999999999</v>
      </c>
      <c r="J2" s="8">
        <v>10</v>
      </c>
    </row>
    <row r="3" spans="1:10">
      <c r="A3" s="13">
        <v>14.503</v>
      </c>
      <c r="B3" s="13">
        <v>0.503</v>
      </c>
      <c r="C3" s="16">
        <v>0.0359285714285714</v>
      </c>
      <c r="D3" s="13">
        <v>13.93</v>
      </c>
      <c r="E3" s="13">
        <v>0.0700000000000003</v>
      </c>
      <c r="F3" s="16">
        <v>0.00500000000000002</v>
      </c>
      <c r="G3" s="13">
        <v>15.008</v>
      </c>
      <c r="H3" s="13">
        <v>1.008</v>
      </c>
      <c r="I3" s="16">
        <v>0.0719999999999999</v>
      </c>
      <c r="J3" s="13">
        <v>14</v>
      </c>
    </row>
    <row r="4" spans="1:10">
      <c r="A4" s="13">
        <v>18.516</v>
      </c>
      <c r="B4" s="13">
        <v>0.515999999999998</v>
      </c>
      <c r="C4" s="16">
        <v>0.0286666666666666</v>
      </c>
      <c r="D4" s="13">
        <v>18.548</v>
      </c>
      <c r="E4" s="13">
        <v>0.547999999999998</v>
      </c>
      <c r="F4" s="16">
        <v>0.0304444444444443</v>
      </c>
      <c r="G4" s="13">
        <v>19.068</v>
      </c>
      <c r="H4" s="13">
        <v>1.068</v>
      </c>
      <c r="I4" s="16">
        <v>0.0593333333333334</v>
      </c>
      <c r="J4" s="13">
        <v>18</v>
      </c>
    </row>
    <row r="5" spans="1:10">
      <c r="A5" s="13">
        <v>22.676</v>
      </c>
      <c r="B5" s="13">
        <v>0.324000000000002</v>
      </c>
      <c r="C5" s="16">
        <v>0.0140869565217392</v>
      </c>
      <c r="D5" s="13">
        <v>22.603</v>
      </c>
      <c r="E5" s="13">
        <v>0.396999999999998</v>
      </c>
      <c r="F5" s="16">
        <v>0.0172608695652173</v>
      </c>
      <c r="G5" s="13">
        <v>22.414</v>
      </c>
      <c r="H5" s="13">
        <v>0.585999999999999</v>
      </c>
      <c r="I5" s="16">
        <v>0.0254782608695652</v>
      </c>
      <c r="J5" s="13">
        <v>23</v>
      </c>
    </row>
    <row r="6" spans="1:10">
      <c r="A6" s="13">
        <v>23.649</v>
      </c>
      <c r="B6" s="13">
        <v>0.350999999999999</v>
      </c>
      <c r="C6" s="16">
        <v>0.014625</v>
      </c>
      <c r="D6" s="13">
        <v>23.649</v>
      </c>
      <c r="E6" s="13">
        <v>0.350999999999999</v>
      </c>
      <c r="F6" s="16">
        <v>0.014625</v>
      </c>
      <c r="G6" s="13">
        <v>23.525</v>
      </c>
      <c r="H6" s="13">
        <v>0.475000000000001</v>
      </c>
      <c r="I6" s="16">
        <v>0.0197916666666667</v>
      </c>
      <c r="J6" s="13">
        <v>24</v>
      </c>
    </row>
    <row r="7" spans="1:10">
      <c r="A7" s="13">
        <v>17.328</v>
      </c>
      <c r="B7" s="13">
        <v>0.327999999999999</v>
      </c>
      <c r="C7" s="16">
        <v>0.0192941176470588</v>
      </c>
      <c r="D7" s="13">
        <v>16.637</v>
      </c>
      <c r="E7" s="13">
        <v>0.363</v>
      </c>
      <c r="F7" s="16">
        <v>0.0213529411764706</v>
      </c>
      <c r="G7" s="13">
        <v>17.832</v>
      </c>
      <c r="H7" s="13">
        <v>0.832000000000001</v>
      </c>
      <c r="I7" s="16">
        <v>0.0489411764705883</v>
      </c>
      <c r="J7" s="13">
        <v>17</v>
      </c>
    </row>
    <row r="8" spans="1:10">
      <c r="A8" s="13">
        <v>12.106</v>
      </c>
      <c r="B8" s="13">
        <v>0.106</v>
      </c>
      <c r="C8" s="16">
        <v>0.00883333333333332</v>
      </c>
      <c r="D8" s="17">
        <v>12.19</v>
      </c>
      <c r="E8" s="13">
        <v>0.19</v>
      </c>
      <c r="F8" s="16">
        <v>0.0158333333333333</v>
      </c>
      <c r="G8" s="13">
        <v>12.603</v>
      </c>
      <c r="H8" s="13">
        <v>0.603</v>
      </c>
      <c r="I8" s="16">
        <v>0.05025</v>
      </c>
      <c r="J8" s="13">
        <v>12</v>
      </c>
    </row>
    <row r="9" spans="1:10">
      <c r="A9" s="13">
        <v>9.012</v>
      </c>
      <c r="B9" s="13">
        <v>0.0120000000000005</v>
      </c>
      <c r="C9" s="16">
        <v>0.00133333333333338</v>
      </c>
      <c r="D9" s="13">
        <v>8.198</v>
      </c>
      <c r="E9" s="13">
        <v>0.802</v>
      </c>
      <c r="F9" s="16">
        <v>0.0891111111111111</v>
      </c>
      <c r="G9" s="13">
        <v>9.644</v>
      </c>
      <c r="H9" s="13">
        <v>0.644</v>
      </c>
      <c r="I9" s="16">
        <v>0.0715555555555556</v>
      </c>
      <c r="J9" s="13">
        <v>9</v>
      </c>
    </row>
    <row r="10" spans="1:10">
      <c r="A10" s="13">
        <v>10.357</v>
      </c>
      <c r="B10" s="13">
        <v>0.143000000000001</v>
      </c>
      <c r="C10" s="16">
        <v>0.0136190476190477</v>
      </c>
      <c r="D10" s="13">
        <v>10.228</v>
      </c>
      <c r="E10" s="13">
        <v>0.272</v>
      </c>
      <c r="F10" s="16">
        <v>0.0259047619047619</v>
      </c>
      <c r="G10" s="13">
        <v>11.395</v>
      </c>
      <c r="H10" s="13">
        <v>0.895</v>
      </c>
      <c r="I10" s="16">
        <v>0.0852380952380952</v>
      </c>
      <c r="J10" s="13">
        <v>10.5</v>
      </c>
    </row>
    <row r="11" spans="1:10">
      <c r="A11" s="13">
        <v>15.569</v>
      </c>
      <c r="B11" s="13">
        <v>0.430999999999999</v>
      </c>
      <c r="C11" s="16">
        <v>0.0269374999999999</v>
      </c>
      <c r="D11" s="13">
        <v>15.1</v>
      </c>
      <c r="E11" s="13">
        <v>0.9</v>
      </c>
      <c r="F11" s="16">
        <v>0.05625</v>
      </c>
      <c r="G11" s="13">
        <v>15.385</v>
      </c>
      <c r="H11" s="13">
        <v>0.615</v>
      </c>
      <c r="I11" s="16">
        <v>0.0384375</v>
      </c>
      <c r="J11" s="13">
        <v>16</v>
      </c>
    </row>
    <row r="12" spans="1:10">
      <c r="A12" s="13">
        <v>19.602</v>
      </c>
      <c r="B12" s="13">
        <v>0.602</v>
      </c>
      <c r="C12" s="16">
        <v>0.0316842105263158</v>
      </c>
      <c r="D12" s="13">
        <v>18.901</v>
      </c>
      <c r="E12" s="13">
        <v>0.0990000000000002</v>
      </c>
      <c r="F12" s="16">
        <v>0.00521052631578948</v>
      </c>
      <c r="G12" s="13">
        <v>19.887</v>
      </c>
      <c r="H12" s="13">
        <v>0.887</v>
      </c>
      <c r="I12" s="16">
        <v>0.0466842105263158</v>
      </c>
      <c r="J12" s="13">
        <v>19</v>
      </c>
    </row>
    <row r="13" spans="1:10">
      <c r="A13" s="13">
        <v>24.873</v>
      </c>
      <c r="B13" s="13">
        <v>0.126999999999999</v>
      </c>
      <c r="C13" s="16">
        <v>0.00507999999999996</v>
      </c>
      <c r="D13" s="13">
        <v>24.654</v>
      </c>
      <c r="E13" s="13">
        <v>0.346</v>
      </c>
      <c r="F13" s="16">
        <v>0.01384</v>
      </c>
      <c r="G13" s="17">
        <v>24.69</v>
      </c>
      <c r="H13" s="13">
        <v>0.309999999999999</v>
      </c>
      <c r="I13" s="16">
        <v>0.0123999999999999</v>
      </c>
      <c r="J13" s="13">
        <v>25</v>
      </c>
    </row>
    <row r="14" spans="1:10">
      <c r="A14" s="13">
        <v>23.634</v>
      </c>
      <c r="B14" s="13">
        <v>0.366</v>
      </c>
      <c r="C14" s="16">
        <v>0.01525</v>
      </c>
      <c r="D14" s="13">
        <v>23.499</v>
      </c>
      <c r="E14" s="13">
        <v>0.501000000000001</v>
      </c>
      <c r="F14" s="16">
        <v>0.020875</v>
      </c>
      <c r="G14" s="13">
        <v>23.658</v>
      </c>
      <c r="H14" s="13">
        <v>0.341999999999999</v>
      </c>
      <c r="I14" s="16">
        <v>0.0142499999999999</v>
      </c>
      <c r="J14" s="13">
        <v>24</v>
      </c>
    </row>
    <row r="15" spans="1:10">
      <c r="A15" s="13">
        <v>16.547</v>
      </c>
      <c r="B15" s="13">
        <v>0.452999999999999</v>
      </c>
      <c r="C15" s="16">
        <v>0.0266470588235294</v>
      </c>
      <c r="D15" s="13">
        <v>16.351</v>
      </c>
      <c r="E15" s="13">
        <v>0.649000000000001</v>
      </c>
      <c r="F15" s="16">
        <v>0.0381764705882353</v>
      </c>
      <c r="G15" s="13">
        <v>16.236</v>
      </c>
      <c r="H15" s="13">
        <v>0.763999999999999</v>
      </c>
      <c r="I15" s="16">
        <v>0.0449411764705882</v>
      </c>
      <c r="J15" s="13">
        <v>17</v>
      </c>
    </row>
    <row r="16" spans="1:10">
      <c r="A16" s="13">
        <v>13.402</v>
      </c>
      <c r="B16" s="13">
        <v>0.401999999999999</v>
      </c>
      <c r="C16" s="16">
        <v>0.0309230769230769</v>
      </c>
      <c r="D16" s="13">
        <v>12.358</v>
      </c>
      <c r="E16" s="13">
        <v>0.641999999999999</v>
      </c>
      <c r="F16" s="16">
        <v>0.0493846153846153</v>
      </c>
      <c r="G16" s="13">
        <v>13.763</v>
      </c>
      <c r="H16" s="13">
        <v>0.763</v>
      </c>
      <c r="I16" s="16">
        <v>0.0586923076923077</v>
      </c>
      <c r="J16" s="13">
        <v>13</v>
      </c>
    </row>
    <row r="17" spans="1:10">
      <c r="A17" s="13">
        <v>9.042</v>
      </c>
      <c r="B17" s="13">
        <v>0.0419999999999998</v>
      </c>
      <c r="C17" s="16">
        <v>0.00466666666666665</v>
      </c>
      <c r="D17" s="13">
        <v>9.142</v>
      </c>
      <c r="E17" s="13">
        <v>0.141999999999999</v>
      </c>
      <c r="F17" s="16">
        <v>0.0157777777777777</v>
      </c>
      <c r="G17" s="13">
        <v>9.483</v>
      </c>
      <c r="H17" s="13">
        <v>0.483000000000001</v>
      </c>
      <c r="I17" s="16">
        <v>0.0536666666666667</v>
      </c>
      <c r="J17" s="13">
        <v>9</v>
      </c>
    </row>
    <row r="18" spans="1:10">
      <c r="A18" s="2" t="s">
        <v>6</v>
      </c>
      <c r="B18" s="12">
        <f>SQRT(SUMSQ(_xlfn.ANCHORARRAY(B2))/16)</f>
        <v>0.365597285274385</v>
      </c>
      <c r="C18" s="13"/>
      <c r="D18" s="2" t="s">
        <v>6</v>
      </c>
      <c r="E18" s="12">
        <f>SQRT(SUMSQ(_xlfn.ANCHORARRAY(E2))/16)</f>
        <v>0.470115876672975</v>
      </c>
      <c r="F18" s="13"/>
      <c r="G18" s="2" t="s">
        <v>6</v>
      </c>
      <c r="H18" s="12">
        <f>SQRT(SUMSQ(_xlfn.ANCHORARRAY(H2))/16)</f>
        <v>0.697899124157639</v>
      </c>
      <c r="I18" s="13"/>
      <c r="J18" s="13"/>
    </row>
    <row r="19" spans="1:10">
      <c r="A19" s="2" t="s">
        <v>7</v>
      </c>
      <c r="B19" s="12">
        <f>SUM(_xlfn.ANCHORARRAY(B2))/16</f>
        <v>0.321</v>
      </c>
      <c r="C19" s="13"/>
      <c r="D19" s="2" t="s">
        <v>7</v>
      </c>
      <c r="E19" s="12">
        <f>SUM(_xlfn.ANCHORARRAY(E2))/16</f>
        <v>0.4010625</v>
      </c>
      <c r="F19" s="13"/>
      <c r="G19" s="2" t="s">
        <v>7</v>
      </c>
      <c r="H19" s="12">
        <f>SUM(_xlfn.ANCHORARRAY(H2))/16</f>
        <v>0.6506875</v>
      </c>
      <c r="I19" s="13"/>
      <c r="J19" s="13"/>
    </row>
    <row r="20" spans="7:7">
      <c r="G20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E25" sqref="E25"/>
    </sheetView>
  </sheetViews>
  <sheetFormatPr defaultColWidth="8.88888888888889" defaultRowHeight="13.8"/>
  <cols>
    <col min="1" max="1" width="13.1111111111111" style="1" customWidth="1"/>
    <col min="2" max="2" width="24.4444444444444" style="1" customWidth="1"/>
    <col min="3" max="4" width="13.1111111111111" style="1" customWidth="1"/>
    <col min="5" max="5" width="24.4444444444444" style="1" customWidth="1"/>
    <col min="6" max="6" width="13.1111111111111" style="1" customWidth="1"/>
    <col min="7" max="7" width="14.4444444444444" style="1" customWidth="1"/>
    <col min="8" max="8" width="24.4444444444444" style="1" customWidth="1"/>
    <col min="9" max="9" width="13.1111111111111" style="1" customWidth="1"/>
    <col min="10" max="10" width="16.8888888888889" style="1" customWidth="1"/>
    <col min="11" max="16384" width="8.88888888888889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1</v>
      </c>
      <c r="F1" s="3" t="s">
        <v>2</v>
      </c>
      <c r="G1" s="2" t="s">
        <v>4</v>
      </c>
      <c r="H1" s="2" t="s">
        <v>1</v>
      </c>
      <c r="I1" s="3" t="s">
        <v>2</v>
      </c>
      <c r="J1" s="2" t="s">
        <v>5</v>
      </c>
    </row>
    <row r="2" spans="1:10">
      <c r="A2" s="4">
        <v>10.225</v>
      </c>
      <c r="B2" s="5" cm="1">
        <f t="array" ref="B2:B17">ABS(A2:A17-J2:J17)</f>
        <v>0.225</v>
      </c>
      <c r="C2" s="6" cm="1">
        <f t="array" ref="C2:C17">_xlfn.ANCHORARRAY(B2)/J2:J17</f>
        <v>0.0225</v>
      </c>
      <c r="D2" s="4">
        <v>10.824</v>
      </c>
      <c r="E2" s="5" cm="1">
        <f t="array" ref="E2:E17">ABS(D2:D17-J2:J17)</f>
        <v>0.824</v>
      </c>
      <c r="F2" s="7" cm="1">
        <f t="array" ref="F2:F17">_xlfn.ANCHORARRAY(E2)/J2:J17</f>
        <v>0.0824</v>
      </c>
      <c r="G2" s="4">
        <v>10.742</v>
      </c>
      <c r="H2" s="8" cm="1">
        <f t="array" ref="H2:H17">ABS(G2:G17-J2:J17)</f>
        <v>0.742000000000001</v>
      </c>
      <c r="I2" s="7" cm="1">
        <f t="array" ref="I2:I17">_xlfn.ANCHORARRAY(H2)/J2:J17</f>
        <v>0.0742000000000001</v>
      </c>
      <c r="J2" s="4">
        <v>10</v>
      </c>
    </row>
    <row r="3" spans="1:10">
      <c r="A3" s="9">
        <v>12.185</v>
      </c>
      <c r="B3" s="9">
        <v>0.185</v>
      </c>
      <c r="C3" s="10">
        <v>0.0154166666666667</v>
      </c>
      <c r="D3" s="9">
        <v>13.484</v>
      </c>
      <c r="E3" s="9">
        <v>1.484</v>
      </c>
      <c r="F3" s="10">
        <v>0.123666666666667</v>
      </c>
      <c r="G3" s="9">
        <v>12.646</v>
      </c>
      <c r="H3" s="9">
        <v>0.646000000000001</v>
      </c>
      <c r="I3" s="10">
        <v>0.0538333333333334</v>
      </c>
      <c r="J3" s="9">
        <v>12</v>
      </c>
    </row>
    <row r="4" spans="1:10">
      <c r="A4" s="9">
        <v>11.398</v>
      </c>
      <c r="B4" s="9">
        <v>0.102</v>
      </c>
      <c r="C4" s="10">
        <v>0.00886956521739133</v>
      </c>
      <c r="D4" s="9">
        <v>12.17</v>
      </c>
      <c r="E4" s="9">
        <v>0.67</v>
      </c>
      <c r="F4" s="10">
        <v>0.0582608695652174</v>
      </c>
      <c r="G4" s="9">
        <v>11.401</v>
      </c>
      <c r="H4" s="9">
        <v>0.0990000000000002</v>
      </c>
      <c r="I4" s="10">
        <v>0.00860869565217393</v>
      </c>
      <c r="J4" s="9">
        <v>11.5</v>
      </c>
    </row>
    <row r="5" spans="1:10">
      <c r="A5" s="9">
        <v>8.378</v>
      </c>
      <c r="B5" s="9">
        <v>0.378</v>
      </c>
      <c r="C5" s="10">
        <v>0.04725</v>
      </c>
      <c r="D5" s="9">
        <v>8.504</v>
      </c>
      <c r="E5" s="9">
        <v>0.504</v>
      </c>
      <c r="F5" s="10">
        <v>0.0629999999999999</v>
      </c>
      <c r="G5" s="9">
        <v>8.969</v>
      </c>
      <c r="H5" s="9">
        <v>0.968999999999999</v>
      </c>
      <c r="I5" s="10">
        <v>0.121125</v>
      </c>
      <c r="J5" s="9">
        <v>8</v>
      </c>
    </row>
    <row r="6" spans="1:10">
      <c r="A6" s="9">
        <v>14.864</v>
      </c>
      <c r="B6" s="9">
        <v>0.135999999999999</v>
      </c>
      <c r="C6" s="10">
        <v>0.00906666666666662</v>
      </c>
      <c r="D6" s="9">
        <v>15.64</v>
      </c>
      <c r="E6" s="9">
        <v>0.640000000000001</v>
      </c>
      <c r="F6" s="10">
        <v>0.0426666666666667</v>
      </c>
      <c r="G6" s="9">
        <v>15.425</v>
      </c>
      <c r="H6" s="9">
        <v>0.425000000000001</v>
      </c>
      <c r="I6" s="10">
        <v>0.0283333333333334</v>
      </c>
      <c r="J6" s="9">
        <v>15</v>
      </c>
    </row>
    <row r="7" spans="1:10">
      <c r="A7" s="9">
        <v>14.461</v>
      </c>
      <c r="B7" s="9">
        <v>0.461</v>
      </c>
      <c r="C7" s="10">
        <v>0.0329285714285715</v>
      </c>
      <c r="D7" s="9">
        <v>15.078</v>
      </c>
      <c r="E7" s="9">
        <v>1.078</v>
      </c>
      <c r="F7" s="10">
        <v>0.077</v>
      </c>
      <c r="G7" s="9">
        <v>14.734</v>
      </c>
      <c r="H7" s="9">
        <v>0.734</v>
      </c>
      <c r="I7" s="10">
        <v>0.0524285714285714</v>
      </c>
      <c r="J7" s="9">
        <v>14</v>
      </c>
    </row>
    <row r="8" spans="1:10">
      <c r="A8" s="9">
        <v>16.557</v>
      </c>
      <c r="B8" s="9">
        <v>0.556999999999999</v>
      </c>
      <c r="C8" s="10">
        <v>0.0348124999999999</v>
      </c>
      <c r="D8" s="9">
        <v>16.521</v>
      </c>
      <c r="E8" s="9">
        <v>0.521000000000001</v>
      </c>
      <c r="F8" s="10">
        <v>0.0325625</v>
      </c>
      <c r="G8" s="9">
        <v>17.221</v>
      </c>
      <c r="H8" s="9">
        <v>1.221</v>
      </c>
      <c r="I8" s="10">
        <v>0.0763125</v>
      </c>
      <c r="J8" s="9">
        <v>16</v>
      </c>
    </row>
    <row r="9" spans="1:10">
      <c r="A9" s="11">
        <v>15.76</v>
      </c>
      <c r="B9" s="9">
        <v>0.26</v>
      </c>
      <c r="C9" s="10">
        <v>0.0167741935483871</v>
      </c>
      <c r="D9" s="9">
        <v>16.438</v>
      </c>
      <c r="E9" s="9">
        <v>0.937999999999999</v>
      </c>
      <c r="F9" s="10">
        <v>0.060516129032258</v>
      </c>
      <c r="G9" s="11">
        <v>16.57</v>
      </c>
      <c r="H9" s="9">
        <v>1.07</v>
      </c>
      <c r="I9" s="10">
        <v>0.0690322580645161</v>
      </c>
      <c r="J9" s="9">
        <v>15.5</v>
      </c>
    </row>
    <row r="10" spans="1:10">
      <c r="A10" s="9">
        <v>20.095</v>
      </c>
      <c r="B10" s="9">
        <v>0.0949999999999989</v>
      </c>
      <c r="C10" s="10">
        <v>0.00474999999999994</v>
      </c>
      <c r="D10" s="9">
        <v>21.158</v>
      </c>
      <c r="E10" s="9">
        <v>1.158</v>
      </c>
      <c r="F10" s="10">
        <v>0.0579000000000001</v>
      </c>
      <c r="G10" s="9">
        <v>20.331</v>
      </c>
      <c r="H10" s="9">
        <v>0.331</v>
      </c>
      <c r="I10" s="10">
        <v>0.01655</v>
      </c>
      <c r="J10" s="9">
        <v>20</v>
      </c>
    </row>
    <row r="11" spans="1:10">
      <c r="A11" s="9">
        <v>21.508</v>
      </c>
      <c r="B11" s="9">
        <v>0.507999999999999</v>
      </c>
      <c r="C11" s="10">
        <v>0.0241904761904761</v>
      </c>
      <c r="D11" s="9">
        <v>21.799</v>
      </c>
      <c r="E11" s="9">
        <v>0.798999999999999</v>
      </c>
      <c r="F11" s="10">
        <v>0.038047619047619</v>
      </c>
      <c r="G11" s="9">
        <v>21.794</v>
      </c>
      <c r="H11" s="9">
        <v>0.794</v>
      </c>
      <c r="I11" s="10">
        <v>0.0378095238095238</v>
      </c>
      <c r="J11" s="9">
        <v>21</v>
      </c>
    </row>
    <row r="12" spans="1:10">
      <c r="A12" s="9">
        <v>21.848</v>
      </c>
      <c r="B12" s="9">
        <v>0.152000000000001</v>
      </c>
      <c r="C12" s="10">
        <v>0.00690909090909096</v>
      </c>
      <c r="D12" s="9">
        <v>22.637</v>
      </c>
      <c r="E12" s="9">
        <v>0.637</v>
      </c>
      <c r="F12" s="10">
        <v>0.0289545454545455</v>
      </c>
      <c r="G12" s="9">
        <v>22.479</v>
      </c>
      <c r="H12" s="9">
        <v>0.478999999999999</v>
      </c>
      <c r="I12" s="10">
        <v>0.0217727272727272</v>
      </c>
      <c r="J12" s="9">
        <v>22</v>
      </c>
    </row>
    <row r="13" spans="1:10">
      <c r="A13" s="9">
        <v>20.614</v>
      </c>
      <c r="B13" s="9">
        <v>0.614000000000001</v>
      </c>
      <c r="C13" s="10">
        <v>0.0307</v>
      </c>
      <c r="D13" s="9">
        <v>20.345</v>
      </c>
      <c r="E13" s="9">
        <v>0.344999999999999</v>
      </c>
      <c r="F13" s="10">
        <v>0.0172499999999999</v>
      </c>
      <c r="G13" s="9">
        <v>20.821</v>
      </c>
      <c r="H13" s="9">
        <v>0.821000000000002</v>
      </c>
      <c r="I13" s="10">
        <v>0.0410500000000001</v>
      </c>
      <c r="J13" s="9">
        <v>20</v>
      </c>
    </row>
    <row r="14" spans="1:10">
      <c r="A14" s="9">
        <v>25.952</v>
      </c>
      <c r="B14" s="9">
        <v>0.0479999999999983</v>
      </c>
      <c r="C14" s="10">
        <v>0.00184615384615378</v>
      </c>
      <c r="D14" s="11">
        <v>25.99</v>
      </c>
      <c r="E14" s="9">
        <v>0.0100000000000016</v>
      </c>
      <c r="F14" s="10">
        <v>0.000384615384615445</v>
      </c>
      <c r="G14" s="9">
        <v>26.643</v>
      </c>
      <c r="H14" s="9">
        <v>0.643000000000001</v>
      </c>
      <c r="I14" s="10">
        <v>0.0247307692307693</v>
      </c>
      <c r="J14" s="9">
        <v>26</v>
      </c>
    </row>
    <row r="15" spans="1:10">
      <c r="A15" s="9">
        <v>25.218</v>
      </c>
      <c r="B15" s="9">
        <v>0.218</v>
      </c>
      <c r="C15" s="10">
        <v>0.00872</v>
      </c>
      <c r="D15" s="9">
        <v>25.511</v>
      </c>
      <c r="E15" s="9">
        <v>0.510999999999999</v>
      </c>
      <c r="F15" s="10">
        <v>0.02044</v>
      </c>
      <c r="G15" s="9">
        <v>25.785</v>
      </c>
      <c r="H15" s="9">
        <v>0.785</v>
      </c>
      <c r="I15" s="10">
        <v>0.0314</v>
      </c>
      <c r="J15" s="9">
        <v>25</v>
      </c>
    </row>
    <row r="16" spans="1:10">
      <c r="A16" s="11">
        <v>25.36</v>
      </c>
      <c r="B16" s="9">
        <v>0.359999999999999</v>
      </c>
      <c r="C16" s="10">
        <v>0.0144</v>
      </c>
      <c r="D16" s="9">
        <v>25.081</v>
      </c>
      <c r="E16" s="9">
        <v>0.0809999999999995</v>
      </c>
      <c r="F16" s="10">
        <v>0.00323999999999998</v>
      </c>
      <c r="G16" s="9">
        <v>25.669</v>
      </c>
      <c r="H16" s="9">
        <v>0.669</v>
      </c>
      <c r="I16" s="10">
        <v>0.02676</v>
      </c>
      <c r="J16" s="9">
        <v>25</v>
      </c>
    </row>
    <row r="17" spans="1:10">
      <c r="A17" s="9">
        <v>27.651</v>
      </c>
      <c r="B17" s="9">
        <v>0.651</v>
      </c>
      <c r="C17" s="10">
        <v>0.0241111111111111</v>
      </c>
      <c r="D17" s="9">
        <v>27.758</v>
      </c>
      <c r="E17" s="9">
        <v>0.757999999999999</v>
      </c>
      <c r="F17" s="10">
        <v>0.028074074074074</v>
      </c>
      <c r="G17" s="9">
        <v>27.963</v>
      </c>
      <c r="H17" s="9">
        <v>0.963000000000001</v>
      </c>
      <c r="I17" s="10">
        <v>0.0356666666666667</v>
      </c>
      <c r="J17" s="9">
        <v>27</v>
      </c>
    </row>
    <row r="18" spans="1:10">
      <c r="A18" s="2" t="s">
        <v>6</v>
      </c>
      <c r="B18" s="12">
        <f>SQRT(SUMSQ(_xlfn.ANCHORARRAY(B2))/16)</f>
        <v>0.363784104930383</v>
      </c>
      <c r="C18" s="13"/>
      <c r="D18" s="2" t="s">
        <v>6</v>
      </c>
      <c r="E18" s="12">
        <f>SQRT(SUMSQ(_xlfn.ANCHORARRAY(E2))/16)</f>
        <v>0.776756960058936</v>
      </c>
      <c r="F18" s="13"/>
      <c r="G18" s="2" t="s">
        <v>6</v>
      </c>
      <c r="H18" s="12">
        <f>SQRT(SUMSQ(_xlfn.ANCHORARRAY(H2))/16)</f>
        <v>0.763210611495936</v>
      </c>
      <c r="I18" s="9"/>
      <c r="J18" s="9"/>
    </row>
    <row r="19" spans="1:10">
      <c r="A19" s="2" t="s">
        <v>7</v>
      </c>
      <c r="B19" s="12">
        <f>SUM(_xlfn.ANCHORARRAY(B2))/16</f>
        <v>0.309375</v>
      </c>
      <c r="C19" s="13"/>
      <c r="D19" s="2" t="s">
        <v>7</v>
      </c>
      <c r="E19" s="12">
        <f>SUM(_xlfn.ANCHORARRAY(E2))/16</f>
        <v>0.684875</v>
      </c>
      <c r="F19" s="13"/>
      <c r="G19" s="2" t="s">
        <v>7</v>
      </c>
      <c r="H19" s="12">
        <f>SUM(_xlfn.ANCHORARRAY(H2))/16</f>
        <v>0.7119375</v>
      </c>
      <c r="I19" s="9"/>
      <c r="J19" s="9"/>
    </row>
    <row r="24" spans="7:7">
      <c r="G2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</dc:creator>
  <cp:lastModifiedBy>柴mǐ</cp:lastModifiedBy>
  <dcterms:created xsi:type="dcterms:W3CDTF">2025-10-11T08:06:00Z</dcterms:created>
  <dcterms:modified xsi:type="dcterms:W3CDTF">2025-11-03T02:14:21Z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FC186F23C4B34614AB11BDC5A1F6D2CA_11</vt:lpwstr>
  </property>
  <property fmtid="{D5CDD505-2E9C-101B-9397-08002B2CF9AE}" pid="3" name="KSOProductBuildVer">
    <vt:lpwstr>2052-12.1.0.23125</vt:lpwstr>
  </property>
</Properties>
</file>